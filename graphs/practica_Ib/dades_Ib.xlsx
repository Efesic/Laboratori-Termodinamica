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Miguel\UAB\TERCER\LAB Termo\Repositori\graphs\practica_Ib\"/>
    </mc:Choice>
  </mc:AlternateContent>
  <xr:revisionPtr revIDLastSave="0" documentId="13_ncr:1_{907991D0-8849-4152-9DCF-75E0AC1E9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L3" i="1"/>
  <c r="L4" i="1"/>
  <c r="L5" i="1"/>
  <c r="L6" i="1"/>
  <c r="L7" i="1"/>
  <c r="L8" i="1"/>
  <c r="L9" i="1"/>
  <c r="L10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2" i="1"/>
  <c r="L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C11" i="1"/>
  <c r="B11" i="1"/>
  <c r="A11" i="1"/>
  <c r="O11" i="1" s="1"/>
  <c r="L11" i="1" s="1"/>
  <c r="M11" i="1" l="1"/>
  <c r="N1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94A280-9CD4-4C9C-972B-BEDD807FD2CB}" keepAlive="1" name="Consulta - borrar" description="Conexión a la consulta 'borrar' en el libro." type="5" refreshedVersion="0" background="1">
    <dbPr connection="Provider=Microsoft.Mashup.OleDb.1;Data Source=$Workbook$;Location=borrar;Extended Properties=&quot;&quot;" command="SELECT * FROM [borrar]"/>
  </connection>
  <connection id="2" xr16:uid="{1519A742-3567-4A3C-A652-926347F8EF50}" keepAlive="1" name="Consulta - borrar (2)" description="Conexión a la consulta 'borrar (2)' en el libro." type="5" refreshedVersion="0" background="1">
    <dbPr connection="Provider=Microsoft.Mashup.OleDb.1;Data Source=$Workbook$;Location=&quot;borrar (2)&quot;;Extended Properties=&quot;&quot;" command="SELECT * FROM [borrar (2)]"/>
  </connection>
</connections>
</file>

<file path=xl/sharedStrings.xml><?xml version="1.0" encoding="utf-8"?>
<sst xmlns="http://schemas.openxmlformats.org/spreadsheetml/2006/main" count="18" uniqueCount="11">
  <si>
    <t>V [V]</t>
  </si>
  <si>
    <t>I [mA]</t>
  </si>
  <si>
    <t>Rad [mV]</t>
  </si>
  <si>
    <t>DC</t>
  </si>
  <si>
    <t>AC</t>
  </si>
  <si>
    <t>P_el</t>
  </si>
  <si>
    <t>lnP_el</t>
  </si>
  <si>
    <t>R</t>
  </si>
  <si>
    <t>Delta T</t>
  </si>
  <si>
    <t xml:space="preserve">R0 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</si>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</sst>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5"/>
  <sheetViews>
    <sheetView tabSelected="1" workbookViewId="0">
      <selection activeCell="Q20" sqref="Q20"/>
    </sheetView>
  </sheetViews>
  <sheetFormatPr baseColWidth="10" defaultColWidth="8.88671875" defaultRowHeight="14.4" x14ac:dyDescent="0.3"/>
  <cols>
    <col min="13" max="13" width="12" bestFit="1" customWidth="1"/>
  </cols>
  <sheetData>
    <row r="1" spans="1:24" x14ac:dyDescent="0.3">
      <c r="A1" s="1">
        <v>0</v>
      </c>
      <c r="B1" s="1">
        <v>0</v>
      </c>
      <c r="C1" s="1">
        <v>0.21</v>
      </c>
      <c r="D1">
        <v>24.7</v>
      </c>
      <c r="E1">
        <v>0</v>
      </c>
      <c r="F1">
        <v>0</v>
      </c>
      <c r="G1">
        <v>0.21</v>
      </c>
      <c r="H1">
        <v>10.3</v>
      </c>
      <c r="I1">
        <v>85.2</v>
      </c>
      <c r="J1">
        <v>0.37</v>
      </c>
      <c r="L1" t="s">
        <v>8</v>
      </c>
      <c r="M1" t="s">
        <v>5</v>
      </c>
      <c r="N1" t="s">
        <v>6</v>
      </c>
      <c r="O1" t="s">
        <v>7</v>
      </c>
      <c r="P1" t="s">
        <v>9</v>
      </c>
      <c r="Q1" t="s">
        <v>10</v>
      </c>
      <c r="X1" s="3"/>
    </row>
    <row r="2" spans="1:24" x14ac:dyDescent="0.3">
      <c r="A2" s="1">
        <v>2</v>
      </c>
      <c r="B2" s="1">
        <v>32.799999999999997</v>
      </c>
      <c r="C2" s="1">
        <v>0.25</v>
      </c>
      <c r="D2">
        <v>24.9</v>
      </c>
      <c r="E2">
        <v>2</v>
      </c>
      <c r="F2">
        <v>32.799999999999997</v>
      </c>
      <c r="G2" s="1">
        <v>0.25</v>
      </c>
      <c r="H2">
        <v>15.2</v>
      </c>
      <c r="I2" s="1">
        <v>95.8</v>
      </c>
      <c r="J2">
        <v>0.95</v>
      </c>
      <c r="L2" s="1">
        <f t="shared" ref="L2:L43" si="0">((O2/$P$2) -1)/$Q$2</f>
        <v>50.388703988872905</v>
      </c>
      <c r="M2">
        <f t="shared" ref="M2:M43" si="1">A2*B2*1000</f>
        <v>65600</v>
      </c>
      <c r="N2">
        <f>LOG(M2)</f>
        <v>4.8169038393756605</v>
      </c>
      <c r="O2">
        <f t="shared" ref="O2:O43" si="2">A2/(B2/1000)</f>
        <v>60.975609756097569</v>
      </c>
      <c r="P2">
        <v>49.1</v>
      </c>
      <c r="Q2">
        <v>4.7999999999999996E-3</v>
      </c>
      <c r="X2" s="3"/>
    </row>
    <row r="3" spans="1:24" x14ac:dyDescent="0.3">
      <c r="A3" s="1">
        <v>3</v>
      </c>
      <c r="B3" s="1">
        <v>44.7</v>
      </c>
      <c r="C3" s="1">
        <v>0.26</v>
      </c>
      <c r="D3">
        <v>24.6</v>
      </c>
      <c r="E3">
        <v>3</v>
      </c>
      <c r="F3">
        <v>44.7</v>
      </c>
      <c r="G3">
        <v>0.26</v>
      </c>
      <c r="H3">
        <v>18</v>
      </c>
      <c r="I3">
        <v>101</v>
      </c>
      <c r="J3">
        <v>1.17</v>
      </c>
      <c r="L3" s="1">
        <f t="shared" si="0"/>
        <v>76.434546672316401</v>
      </c>
      <c r="M3">
        <f t="shared" si="1"/>
        <v>134100.00000000003</v>
      </c>
      <c r="N3">
        <f t="shared" ref="N3:N43" si="3">LOG(M3)</f>
        <v>5.1274287778515992</v>
      </c>
      <c r="O3">
        <f t="shared" si="2"/>
        <v>67.114093959731534</v>
      </c>
      <c r="X3" s="3"/>
    </row>
    <row r="4" spans="1:24" x14ac:dyDescent="0.3">
      <c r="A4" s="1">
        <v>5.2</v>
      </c>
      <c r="B4" s="1">
        <v>62.2</v>
      </c>
      <c r="C4" s="1">
        <v>0.28000000000000003</v>
      </c>
      <c r="D4" s="1">
        <v>24.4</v>
      </c>
      <c r="E4">
        <v>5.2</v>
      </c>
      <c r="F4">
        <v>62.2</v>
      </c>
      <c r="G4">
        <v>0.28000000000000003</v>
      </c>
      <c r="H4">
        <v>21.3</v>
      </c>
      <c r="I4">
        <v>106.5</v>
      </c>
      <c r="J4">
        <v>1.52</v>
      </c>
      <c r="L4" s="1">
        <f t="shared" si="0"/>
        <v>146.39038600489411</v>
      </c>
      <c r="M4">
        <f t="shared" si="1"/>
        <v>323440</v>
      </c>
      <c r="N4">
        <f t="shared" si="3"/>
        <v>5.5097937283256178</v>
      </c>
      <c r="O4">
        <f t="shared" si="2"/>
        <v>83.60128617363344</v>
      </c>
      <c r="X4" s="3"/>
    </row>
    <row r="5" spans="1:24" x14ac:dyDescent="0.3">
      <c r="A5" s="1">
        <v>7.2</v>
      </c>
      <c r="B5" s="1">
        <v>72.3</v>
      </c>
      <c r="C5" s="1">
        <v>0.35</v>
      </c>
      <c r="E5">
        <v>7.2</v>
      </c>
      <c r="F5">
        <v>72.3</v>
      </c>
      <c r="G5">
        <v>0.35</v>
      </c>
      <c r="H5">
        <v>23.9</v>
      </c>
      <c r="I5">
        <v>110.8</v>
      </c>
      <c r="J5">
        <v>1.95</v>
      </c>
      <c r="L5" s="1">
        <f t="shared" si="0"/>
        <v>214.21020977878442</v>
      </c>
      <c r="M5">
        <f t="shared" si="1"/>
        <v>520559.99999999994</v>
      </c>
      <c r="N5">
        <f t="shared" si="3"/>
        <v>5.716470793725799</v>
      </c>
      <c r="O5">
        <f t="shared" si="2"/>
        <v>99.585062240663902</v>
      </c>
      <c r="X5" s="3"/>
    </row>
    <row r="6" spans="1:24" x14ac:dyDescent="0.3">
      <c r="A6" s="1">
        <v>9</v>
      </c>
      <c r="B6" s="1">
        <v>79</v>
      </c>
      <c r="C6" s="1">
        <v>0.46</v>
      </c>
      <c r="E6">
        <v>9</v>
      </c>
      <c r="F6">
        <v>79</v>
      </c>
      <c r="G6">
        <v>0.46</v>
      </c>
      <c r="H6">
        <v>27.8</v>
      </c>
      <c r="I6">
        <v>116.7</v>
      </c>
      <c r="J6">
        <v>2.4700000000000002</v>
      </c>
      <c r="L6" s="1">
        <f t="shared" si="0"/>
        <v>275.05113133448486</v>
      </c>
      <c r="M6">
        <f t="shared" si="1"/>
        <v>711000</v>
      </c>
      <c r="N6">
        <f t="shared" si="3"/>
        <v>5.8518696007297661</v>
      </c>
      <c r="O6">
        <f t="shared" si="2"/>
        <v>113.92405063291139</v>
      </c>
      <c r="X6" s="3"/>
    </row>
    <row r="7" spans="1:24" x14ac:dyDescent="0.3">
      <c r="A7" s="1">
        <v>10.3</v>
      </c>
      <c r="B7" s="1">
        <v>85.2</v>
      </c>
      <c r="C7" s="1">
        <v>0.37</v>
      </c>
      <c r="E7">
        <v>12</v>
      </c>
      <c r="F7">
        <v>87.3</v>
      </c>
      <c r="G7">
        <v>0.55000000000000004</v>
      </c>
      <c r="H7">
        <v>32.1</v>
      </c>
      <c r="I7">
        <v>123.3</v>
      </c>
      <c r="J7">
        <v>3.29</v>
      </c>
      <c r="L7" s="1">
        <f t="shared" si="0"/>
        <v>304.61650873787653</v>
      </c>
      <c r="M7">
        <f t="shared" si="1"/>
        <v>877560.00000000012</v>
      </c>
      <c r="N7">
        <f t="shared" si="3"/>
        <v>5.9432768194718726</v>
      </c>
      <c r="O7">
        <f t="shared" si="2"/>
        <v>120.89201877934273</v>
      </c>
      <c r="X7" s="3"/>
    </row>
    <row r="8" spans="1:24" x14ac:dyDescent="0.3">
      <c r="A8" s="1">
        <v>12</v>
      </c>
      <c r="B8" s="1">
        <v>87.3</v>
      </c>
      <c r="C8" s="1">
        <v>0.55000000000000004</v>
      </c>
      <c r="E8">
        <v>15.1</v>
      </c>
      <c r="F8">
        <v>93.9</v>
      </c>
      <c r="G8">
        <v>0.7</v>
      </c>
      <c r="H8">
        <v>35</v>
      </c>
      <c r="I8">
        <v>127.6</v>
      </c>
      <c r="J8">
        <v>3.92</v>
      </c>
      <c r="L8" s="1">
        <f t="shared" si="0"/>
        <v>374.90259959920024</v>
      </c>
      <c r="M8">
        <f t="shared" si="1"/>
        <v>1047599.9999999999</v>
      </c>
      <c r="N8">
        <f t="shared" si="3"/>
        <v>6.0201954897531946</v>
      </c>
      <c r="O8">
        <f t="shared" si="2"/>
        <v>137.45704467353951</v>
      </c>
      <c r="X8" s="3"/>
    </row>
    <row r="9" spans="1:24" x14ac:dyDescent="0.3">
      <c r="A9" s="1">
        <v>15.1</v>
      </c>
      <c r="B9" s="1">
        <v>93.9</v>
      </c>
      <c r="C9" s="1">
        <v>0.7</v>
      </c>
      <c r="E9">
        <v>18</v>
      </c>
      <c r="F9">
        <v>99.3</v>
      </c>
      <c r="G9">
        <v>0.95</v>
      </c>
      <c r="H9">
        <v>37.9</v>
      </c>
      <c r="I9">
        <v>131.9</v>
      </c>
      <c r="J9">
        <v>4.62</v>
      </c>
      <c r="L9" s="1">
        <f t="shared" si="0"/>
        <v>473.98749012216342</v>
      </c>
      <c r="M9">
        <f t="shared" si="1"/>
        <v>1417890</v>
      </c>
      <c r="N9">
        <f t="shared" si="3"/>
        <v>6.1516425395592806</v>
      </c>
      <c r="O9">
        <f t="shared" si="2"/>
        <v>160.80937167199147</v>
      </c>
      <c r="Q9" t="s">
        <v>3</v>
      </c>
      <c r="R9" t="s">
        <v>3</v>
      </c>
      <c r="S9" t="s">
        <v>3</v>
      </c>
      <c r="T9" t="s">
        <v>4</v>
      </c>
      <c r="U9" t="s">
        <v>4</v>
      </c>
      <c r="V9" t="s">
        <v>4</v>
      </c>
      <c r="X9" s="3"/>
    </row>
    <row r="10" spans="1:24" x14ac:dyDescent="0.3">
      <c r="A10" s="1">
        <v>15.2</v>
      </c>
      <c r="B10" s="1">
        <v>95.8</v>
      </c>
      <c r="C10" s="1">
        <v>0.95</v>
      </c>
      <c r="E10">
        <v>21.1</v>
      </c>
      <c r="F10">
        <v>104.6</v>
      </c>
      <c r="G10">
        <v>1.36</v>
      </c>
      <c r="H10">
        <v>42</v>
      </c>
      <c r="I10">
        <v>137.80000000000001</v>
      </c>
      <c r="J10">
        <v>5.67</v>
      </c>
      <c r="L10" s="1">
        <f t="shared" si="0"/>
        <v>464.88409321864549</v>
      </c>
      <c r="M10">
        <f t="shared" si="1"/>
        <v>1456159.9999999998</v>
      </c>
      <c r="N10">
        <f t="shared" si="3"/>
        <v>6.1632090970233167</v>
      </c>
      <c r="O10">
        <f t="shared" si="2"/>
        <v>158.66388308977037</v>
      </c>
      <c r="Q10" t="s">
        <v>0</v>
      </c>
      <c r="R10" t="s">
        <v>1</v>
      </c>
      <c r="S10" t="s">
        <v>2</v>
      </c>
      <c r="T10" t="s">
        <v>0</v>
      </c>
      <c r="U10" t="s">
        <v>1</v>
      </c>
      <c r="V10" t="s">
        <v>2</v>
      </c>
      <c r="X10" s="3"/>
    </row>
    <row r="11" spans="1:24" x14ac:dyDescent="0.3">
      <c r="A11">
        <f>AVERAGE(Q11,T11)</f>
        <v>18</v>
      </c>
      <c r="B11">
        <f>AVERAGE(R11,U11)</f>
        <v>100.15</v>
      </c>
      <c r="C11">
        <f>AVERAGE(S11,V11)</f>
        <v>1.06</v>
      </c>
      <c r="E11">
        <v>24</v>
      </c>
      <c r="F11">
        <v>109.4</v>
      </c>
      <c r="G11">
        <v>1.76</v>
      </c>
      <c r="H11">
        <v>46</v>
      </c>
      <c r="I11">
        <v>143.19999999999999</v>
      </c>
      <c r="J11">
        <v>6.72</v>
      </c>
      <c r="L11" s="1">
        <f t="shared" si="0"/>
        <v>554.27021551854159</v>
      </c>
      <c r="M11">
        <f t="shared" si="1"/>
        <v>1802700</v>
      </c>
      <c r="N11">
        <f t="shared" si="3"/>
        <v>6.2559234587329007</v>
      </c>
      <c r="O11">
        <f t="shared" si="2"/>
        <v>179.73040439340988</v>
      </c>
      <c r="Q11" s="1">
        <v>18</v>
      </c>
      <c r="R11" s="1">
        <v>99.3</v>
      </c>
      <c r="S11" s="1">
        <v>0.95</v>
      </c>
      <c r="T11" s="1">
        <v>18</v>
      </c>
      <c r="U11" s="1">
        <v>101</v>
      </c>
      <c r="V11" s="1">
        <v>1.17</v>
      </c>
      <c r="X11" s="3"/>
    </row>
    <row r="12" spans="1:24" x14ac:dyDescent="0.3">
      <c r="A12" s="1">
        <v>21.1</v>
      </c>
      <c r="B12" s="1">
        <v>104.6</v>
      </c>
      <c r="C12" s="1">
        <v>1.36</v>
      </c>
      <c r="H12">
        <v>50</v>
      </c>
      <c r="I12">
        <v>148.5</v>
      </c>
      <c r="J12">
        <v>7.95</v>
      </c>
      <c r="L12" s="1">
        <f t="shared" si="0"/>
        <v>647.57654998383919</v>
      </c>
      <c r="M12">
        <f t="shared" si="1"/>
        <v>2207060</v>
      </c>
      <c r="N12">
        <f t="shared" si="3"/>
        <v>6.3438141398289485</v>
      </c>
      <c r="O12">
        <f t="shared" si="2"/>
        <v>201.72084130019121</v>
      </c>
      <c r="V12" s="3"/>
      <c r="X12" s="3"/>
    </row>
    <row r="13" spans="1:24" x14ac:dyDescent="0.3">
      <c r="A13" s="1">
        <v>21.3</v>
      </c>
      <c r="B13" s="1">
        <v>106.5</v>
      </c>
      <c r="C13" s="1">
        <v>1.52</v>
      </c>
      <c r="H13">
        <v>54.2</v>
      </c>
      <c r="I13">
        <v>154.4</v>
      </c>
      <c r="J13">
        <v>9.3800000000000008</v>
      </c>
      <c r="L13" s="1">
        <f t="shared" si="0"/>
        <v>640.27494908350309</v>
      </c>
      <c r="M13">
        <f t="shared" si="1"/>
        <v>2268450.0000000005</v>
      </c>
      <c r="N13">
        <f t="shared" si="3"/>
        <v>6.355729211213494</v>
      </c>
      <c r="O13">
        <f t="shared" si="2"/>
        <v>200</v>
      </c>
      <c r="V13" s="3"/>
      <c r="X13" s="3"/>
    </row>
    <row r="14" spans="1:24" x14ac:dyDescent="0.3">
      <c r="A14" s="1">
        <v>23.9</v>
      </c>
      <c r="B14" s="1">
        <v>110.8</v>
      </c>
      <c r="C14" s="1">
        <v>1.95</v>
      </c>
      <c r="H14">
        <v>60.2</v>
      </c>
      <c r="I14">
        <v>162</v>
      </c>
      <c r="J14">
        <v>11.48</v>
      </c>
      <c r="L14" s="1">
        <f t="shared" si="0"/>
        <v>706.90754887616083</v>
      </c>
      <c r="M14">
        <f t="shared" si="1"/>
        <v>2648120</v>
      </c>
      <c r="N14">
        <f t="shared" si="3"/>
        <v>6.4229376613405487</v>
      </c>
      <c r="O14">
        <f t="shared" si="2"/>
        <v>215.70397111913357</v>
      </c>
      <c r="V14" s="3"/>
      <c r="X14" s="3"/>
    </row>
    <row r="15" spans="1:24" x14ac:dyDescent="0.3">
      <c r="A15" s="1">
        <v>24</v>
      </c>
      <c r="B15" s="1">
        <v>109.4</v>
      </c>
      <c r="C15" s="1">
        <v>1.76</v>
      </c>
      <c r="H15">
        <v>64</v>
      </c>
      <c r="I15">
        <v>64</v>
      </c>
      <c r="J15">
        <v>12.96</v>
      </c>
      <c r="L15" s="1">
        <f t="shared" si="0"/>
        <v>722.4984206887907</v>
      </c>
      <c r="M15">
        <f t="shared" si="1"/>
        <v>2625600.0000000005</v>
      </c>
      <c r="N15">
        <f t="shared" si="3"/>
        <v>6.4192285637090185</v>
      </c>
      <c r="O15">
        <f t="shared" si="2"/>
        <v>219.37842778793416</v>
      </c>
      <c r="V15" s="3"/>
      <c r="X15" s="3"/>
    </row>
    <row r="16" spans="1:24" x14ac:dyDescent="0.3">
      <c r="A16" s="1">
        <v>27.8</v>
      </c>
      <c r="B16" s="1">
        <v>116.7</v>
      </c>
      <c r="C16" s="1">
        <v>2.4700000000000002</v>
      </c>
      <c r="H16">
        <v>68</v>
      </c>
      <c r="I16">
        <v>172</v>
      </c>
      <c r="J16">
        <v>14.56</v>
      </c>
      <c r="L16" s="1">
        <f t="shared" si="0"/>
        <v>802.43402961388404</v>
      </c>
      <c r="M16">
        <f t="shared" si="1"/>
        <v>3244260</v>
      </c>
      <c r="N16">
        <f t="shared" si="3"/>
        <v>6.5111156519634461</v>
      </c>
      <c r="O16">
        <f t="shared" si="2"/>
        <v>238.21765209940017</v>
      </c>
      <c r="V16" s="3"/>
      <c r="X16" s="3"/>
    </row>
    <row r="17" spans="1:24" x14ac:dyDescent="0.3">
      <c r="A17" s="1">
        <v>32.1</v>
      </c>
      <c r="B17" s="1">
        <v>123.3</v>
      </c>
      <c r="C17" s="1">
        <v>3.29</v>
      </c>
      <c r="H17">
        <v>72.2</v>
      </c>
      <c r="I17">
        <v>177.2</v>
      </c>
      <c r="J17">
        <v>16.420000000000002</v>
      </c>
      <c r="L17" s="1">
        <f t="shared" si="0"/>
        <v>896.30275205111309</v>
      </c>
      <c r="M17">
        <f t="shared" si="1"/>
        <v>3957930.0000000005</v>
      </c>
      <c r="N17">
        <f t="shared" si="3"/>
        <v>6.5974681090006042</v>
      </c>
      <c r="O17">
        <f t="shared" si="2"/>
        <v>260.34063260340633</v>
      </c>
      <c r="V17" s="3"/>
      <c r="X17" s="3"/>
    </row>
    <row r="18" spans="1:24" x14ac:dyDescent="0.3">
      <c r="A18" s="1">
        <v>35</v>
      </c>
      <c r="B18" s="1">
        <v>127.6</v>
      </c>
      <c r="C18" s="1">
        <v>3.92</v>
      </c>
      <c r="H18">
        <v>78.2</v>
      </c>
      <c r="I18">
        <v>184.1</v>
      </c>
      <c r="J18">
        <v>18.940000000000001</v>
      </c>
      <c r="L18" s="1">
        <f t="shared" si="0"/>
        <v>955.51031418192031</v>
      </c>
      <c r="M18">
        <f t="shared" si="1"/>
        <v>4466000</v>
      </c>
      <c r="N18">
        <f t="shared" si="3"/>
        <v>6.6499187187354192</v>
      </c>
      <c r="O18">
        <f t="shared" si="2"/>
        <v>274.29467084639498</v>
      </c>
      <c r="V18" s="3"/>
      <c r="X18" s="3"/>
    </row>
    <row r="19" spans="1:24" x14ac:dyDescent="0.3">
      <c r="A19" s="1">
        <v>37.9</v>
      </c>
      <c r="B19" s="1">
        <v>131.9</v>
      </c>
      <c r="C19" s="1">
        <v>4.62</v>
      </c>
      <c r="G19" s="2"/>
      <c r="H19">
        <v>84</v>
      </c>
      <c r="I19">
        <v>190.9</v>
      </c>
      <c r="J19">
        <v>21.71</v>
      </c>
      <c r="L19" s="1">
        <f t="shared" si="0"/>
        <v>1010.8574893959347</v>
      </c>
      <c r="M19">
        <f t="shared" si="1"/>
        <v>4999010</v>
      </c>
      <c r="N19">
        <f t="shared" si="3"/>
        <v>6.6988840055144374</v>
      </c>
      <c r="O19">
        <f t="shared" si="2"/>
        <v>287.3388931008339</v>
      </c>
      <c r="V19" s="3"/>
      <c r="X19" s="3"/>
    </row>
    <row r="20" spans="1:24" x14ac:dyDescent="0.3">
      <c r="A20" s="1">
        <v>42</v>
      </c>
      <c r="B20" s="1">
        <v>137.80000000000001</v>
      </c>
      <c r="C20" s="1">
        <v>5.67</v>
      </c>
      <c r="H20">
        <v>90.1</v>
      </c>
      <c r="I20">
        <v>197.9</v>
      </c>
      <c r="J20">
        <v>24.74</v>
      </c>
      <c r="L20" s="1">
        <f t="shared" si="0"/>
        <v>1084.9013495950821</v>
      </c>
      <c r="M20">
        <f t="shared" si="1"/>
        <v>5787600</v>
      </c>
      <c r="N20">
        <f t="shared" si="3"/>
        <v>6.7624985079695072</v>
      </c>
      <c r="O20">
        <f t="shared" si="2"/>
        <v>304.78955007256894</v>
      </c>
      <c r="V20" s="3"/>
      <c r="X20" s="3"/>
    </row>
    <row r="21" spans="1:24" x14ac:dyDescent="0.3">
      <c r="A21" s="1">
        <v>46</v>
      </c>
      <c r="B21" s="1">
        <v>143.19999999999999</v>
      </c>
      <c r="C21" s="1">
        <v>6.72</v>
      </c>
      <c r="H21">
        <v>100.3</v>
      </c>
      <c r="I21">
        <v>209.1</v>
      </c>
      <c r="J21">
        <v>30.14</v>
      </c>
      <c r="L21" s="1">
        <f t="shared" si="0"/>
        <v>1154.6548297663339</v>
      </c>
      <c r="M21">
        <f t="shared" si="1"/>
        <v>6587200</v>
      </c>
      <c r="N21">
        <f t="shared" si="3"/>
        <v>6.8187008496534105</v>
      </c>
      <c r="O21">
        <f t="shared" si="2"/>
        <v>321.22905027932961</v>
      </c>
      <c r="V21" s="3"/>
      <c r="X21" s="3"/>
    </row>
    <row r="22" spans="1:24" x14ac:dyDescent="0.3">
      <c r="A22" s="1">
        <v>50</v>
      </c>
      <c r="B22" s="1">
        <v>148.5</v>
      </c>
      <c r="C22" s="1">
        <v>7.95</v>
      </c>
      <c r="H22">
        <v>110.4</v>
      </c>
      <c r="I22">
        <v>219.5</v>
      </c>
      <c r="J22">
        <v>35.67</v>
      </c>
      <c r="L22" s="1">
        <f t="shared" si="0"/>
        <v>1220.300138748883</v>
      </c>
      <c r="M22">
        <f t="shared" si="1"/>
        <v>7425000</v>
      </c>
      <c r="N22">
        <f t="shared" si="3"/>
        <v>6.8706964579892498</v>
      </c>
      <c r="O22">
        <f t="shared" si="2"/>
        <v>336.70033670033672</v>
      </c>
      <c r="V22" s="3"/>
      <c r="X22" s="3"/>
    </row>
    <row r="23" spans="1:24" x14ac:dyDescent="0.3">
      <c r="A23" s="1">
        <v>54.2</v>
      </c>
      <c r="B23" s="1">
        <v>154.4</v>
      </c>
      <c r="C23" s="1">
        <v>9.3800000000000008</v>
      </c>
      <c r="H23">
        <v>120.6</v>
      </c>
      <c r="I23">
        <v>231.1</v>
      </c>
      <c r="J23">
        <v>41.27</v>
      </c>
      <c r="L23" s="1">
        <f t="shared" si="0"/>
        <v>1281.128095001917</v>
      </c>
      <c r="M23">
        <f t="shared" si="1"/>
        <v>8368480.0000000009</v>
      </c>
      <c r="N23">
        <f t="shared" si="3"/>
        <v>6.9226465825381043</v>
      </c>
      <c r="O23">
        <f t="shared" si="2"/>
        <v>351.03626943005179</v>
      </c>
      <c r="V23" s="3"/>
      <c r="X23" s="3"/>
    </row>
    <row r="24" spans="1:24" x14ac:dyDescent="0.3">
      <c r="A24" s="1">
        <v>60.2</v>
      </c>
      <c r="B24" s="1">
        <v>162</v>
      </c>
      <c r="C24" s="1">
        <v>11.48</v>
      </c>
      <c r="H24">
        <v>130.4</v>
      </c>
      <c r="I24">
        <v>240.8</v>
      </c>
      <c r="J24">
        <v>47.39</v>
      </c>
      <c r="L24" s="1">
        <f t="shared" si="0"/>
        <v>1368.4018086880728</v>
      </c>
      <c r="M24">
        <f t="shared" si="1"/>
        <v>9752400</v>
      </c>
      <c r="N24">
        <f t="shared" si="3"/>
        <v>6.9891115058004551</v>
      </c>
      <c r="O24">
        <f t="shared" si="2"/>
        <v>371.60493827160496</v>
      </c>
      <c r="V24" s="3"/>
      <c r="X24" s="3"/>
    </row>
    <row r="25" spans="1:24" x14ac:dyDescent="0.3">
      <c r="A25" s="1">
        <v>64</v>
      </c>
      <c r="B25" s="1">
        <v>167</v>
      </c>
      <c r="C25" s="1">
        <v>12.96</v>
      </c>
      <c r="H25">
        <v>140.30000000000001</v>
      </c>
      <c r="I25">
        <v>250.3</v>
      </c>
      <c r="J25">
        <v>53.62</v>
      </c>
      <c r="L25" s="1">
        <f t="shared" si="0"/>
        <v>1417.7424174055147</v>
      </c>
      <c r="M25">
        <f t="shared" si="1"/>
        <v>10688000</v>
      </c>
      <c r="N25">
        <f t="shared" si="3"/>
        <v>7.0288964451314708</v>
      </c>
      <c r="O25">
        <f t="shared" si="2"/>
        <v>383.23353293413169</v>
      </c>
      <c r="V25" s="3"/>
      <c r="X25" s="3"/>
    </row>
    <row r="26" spans="1:24" x14ac:dyDescent="0.3">
      <c r="A26" s="1">
        <v>68</v>
      </c>
      <c r="B26" s="1">
        <v>172</v>
      </c>
      <c r="C26" s="1">
        <v>14.56</v>
      </c>
      <c r="H26">
        <v>150.6</v>
      </c>
      <c r="I26">
        <v>260</v>
      </c>
      <c r="J26">
        <v>60.12</v>
      </c>
      <c r="L26" s="1">
        <f t="shared" si="0"/>
        <v>1469.1481551650643</v>
      </c>
      <c r="M26">
        <f t="shared" si="1"/>
        <v>11696000</v>
      </c>
      <c r="N26">
        <f t="shared" si="3"/>
        <v>7.0680373596137853</v>
      </c>
      <c r="O26">
        <f t="shared" si="2"/>
        <v>395.34883720930236</v>
      </c>
      <c r="V26" s="3"/>
      <c r="X26" s="3"/>
    </row>
    <row r="27" spans="1:24" x14ac:dyDescent="0.3">
      <c r="A27" s="1">
        <v>72.2</v>
      </c>
      <c r="B27" s="1">
        <v>177.2</v>
      </c>
      <c r="C27" s="1">
        <v>16.420000000000002</v>
      </c>
      <c r="H27">
        <v>161.19999999999999</v>
      </c>
      <c r="I27">
        <v>269.2</v>
      </c>
      <c r="J27">
        <v>67.260000000000005</v>
      </c>
      <c r="L27" s="1">
        <f t="shared" si="0"/>
        <v>1520.4905377303121</v>
      </c>
      <c r="M27">
        <f t="shared" si="1"/>
        <v>12793840</v>
      </c>
      <c r="N27">
        <f t="shared" si="3"/>
        <v>7.107000915120671</v>
      </c>
      <c r="O27">
        <f t="shared" si="2"/>
        <v>407.44920993227993</v>
      </c>
      <c r="V27" s="3"/>
      <c r="X27" s="3"/>
    </row>
    <row r="28" spans="1:24" x14ac:dyDescent="0.3">
      <c r="A28" s="1">
        <v>78.2</v>
      </c>
      <c r="B28" s="1">
        <v>184.1</v>
      </c>
      <c r="C28" s="1">
        <v>18.940000000000001</v>
      </c>
      <c r="H28">
        <v>169.9</v>
      </c>
      <c r="I28">
        <v>276.8</v>
      </c>
      <c r="J28">
        <v>72.94</v>
      </c>
      <c r="L28" s="1">
        <f t="shared" si="0"/>
        <v>1593.9797488230113</v>
      </c>
      <c r="M28">
        <f t="shared" si="1"/>
        <v>14396620</v>
      </c>
      <c r="N28">
        <f t="shared" si="3"/>
        <v>7.1582605415638625</v>
      </c>
      <c r="O28">
        <f t="shared" si="2"/>
        <v>424.76914720260731</v>
      </c>
      <c r="V28" s="3"/>
      <c r="X28" s="3"/>
    </row>
    <row r="29" spans="1:24" x14ac:dyDescent="0.3">
      <c r="A29" s="1">
        <v>84</v>
      </c>
      <c r="B29" s="1">
        <v>190.9</v>
      </c>
      <c r="C29" s="1">
        <v>21.71</v>
      </c>
      <c r="H29">
        <v>180</v>
      </c>
      <c r="I29">
        <v>285.3</v>
      </c>
      <c r="J29">
        <v>79.92</v>
      </c>
      <c r="L29" s="1">
        <f t="shared" si="0"/>
        <v>1658.6937940373912</v>
      </c>
      <c r="M29">
        <f t="shared" si="1"/>
        <v>16035600</v>
      </c>
      <c r="N29">
        <f t="shared" si="3"/>
        <v>7.2050852144555488</v>
      </c>
      <c r="O29">
        <f t="shared" si="2"/>
        <v>440.02095337873232</v>
      </c>
      <c r="V29" s="3"/>
      <c r="X29" s="3"/>
    </row>
    <row r="30" spans="1:24" x14ac:dyDescent="0.3">
      <c r="A30" s="1">
        <v>90.1</v>
      </c>
      <c r="B30" s="1">
        <v>197.9</v>
      </c>
      <c r="C30" s="1">
        <v>24.74</v>
      </c>
      <c r="H30">
        <v>190.4</v>
      </c>
      <c r="I30">
        <v>294</v>
      </c>
      <c r="J30">
        <v>87.23</v>
      </c>
      <c r="L30" s="1">
        <f t="shared" si="0"/>
        <v>1723.4404475094398</v>
      </c>
      <c r="M30">
        <f t="shared" si="1"/>
        <v>17830790</v>
      </c>
      <c r="N30">
        <f t="shared" si="3"/>
        <v>7.2511705851854593</v>
      </c>
      <c r="O30">
        <f t="shared" si="2"/>
        <v>455.28044466902475</v>
      </c>
      <c r="V30" s="3"/>
      <c r="X30" s="3"/>
    </row>
    <row r="31" spans="1:24" x14ac:dyDescent="0.3">
      <c r="A31" s="1">
        <v>100.3</v>
      </c>
      <c r="B31" s="1">
        <v>209.1</v>
      </c>
      <c r="C31" s="1">
        <v>30.14</v>
      </c>
      <c r="H31">
        <v>200.7</v>
      </c>
      <c r="I31">
        <v>302.39999999999998</v>
      </c>
      <c r="J31">
        <v>94.06</v>
      </c>
      <c r="L31" s="1">
        <f t="shared" si="0"/>
        <v>1826.9466936013555</v>
      </c>
      <c r="M31">
        <f t="shared" si="1"/>
        <v>20972730</v>
      </c>
      <c r="N31">
        <f t="shared" si="3"/>
        <v>7.3216549658380901</v>
      </c>
      <c r="O31">
        <f t="shared" si="2"/>
        <v>479.67479674796743</v>
      </c>
      <c r="V31" s="3"/>
      <c r="X31" s="3"/>
    </row>
    <row r="32" spans="1:24" x14ac:dyDescent="0.3">
      <c r="A32" s="1">
        <v>110.4</v>
      </c>
      <c r="B32" s="1">
        <v>219.5</v>
      </c>
      <c r="C32" s="1">
        <v>35.67</v>
      </c>
      <c r="H32">
        <v>210.7</v>
      </c>
      <c r="I32">
        <v>310</v>
      </c>
      <c r="J32">
        <v>101.77</v>
      </c>
      <c r="L32" s="1">
        <f t="shared" si="0"/>
        <v>1925.7521878242692</v>
      </c>
      <c r="M32">
        <f t="shared" si="1"/>
        <v>24232800.000000004</v>
      </c>
      <c r="N32">
        <f t="shared" si="3"/>
        <v>7.3844035979713203</v>
      </c>
      <c r="O32">
        <f t="shared" si="2"/>
        <v>502.96127562642374</v>
      </c>
      <c r="V32" s="3"/>
      <c r="X32" s="3"/>
    </row>
    <row r="33" spans="1:24" x14ac:dyDescent="0.3">
      <c r="A33" s="1">
        <v>120.6</v>
      </c>
      <c r="B33" s="1">
        <v>231.1</v>
      </c>
      <c r="C33" s="1">
        <v>41.27</v>
      </c>
      <c r="H33">
        <v>219.7</v>
      </c>
      <c r="I33">
        <v>317</v>
      </c>
      <c r="J33">
        <v>108</v>
      </c>
      <c r="L33" s="1">
        <f t="shared" si="0"/>
        <v>2005.9063650541714</v>
      </c>
      <c r="M33">
        <f t="shared" si="1"/>
        <v>27870659.999999996</v>
      </c>
      <c r="N33">
        <f t="shared" si="3"/>
        <v>7.4451472532832419</v>
      </c>
      <c r="O33">
        <f t="shared" si="2"/>
        <v>521.85201211596711</v>
      </c>
      <c r="V33" s="3"/>
      <c r="X33" s="3"/>
    </row>
    <row r="34" spans="1:24" x14ac:dyDescent="0.3">
      <c r="A34" s="1">
        <v>130.4</v>
      </c>
      <c r="B34" s="1">
        <v>240.8</v>
      </c>
      <c r="C34" s="1">
        <v>47.39</v>
      </c>
      <c r="L34" s="1">
        <f t="shared" si="0"/>
        <v>2089.3934114165727</v>
      </c>
      <c r="M34">
        <f t="shared" si="1"/>
        <v>31400320.000000004</v>
      </c>
      <c r="N34">
        <f t="shared" si="3"/>
        <v>7.4969340739816888</v>
      </c>
      <c r="O34">
        <f t="shared" si="2"/>
        <v>541.5282392026578</v>
      </c>
      <c r="V34" s="3"/>
      <c r="X34" s="3"/>
    </row>
    <row r="35" spans="1:24" x14ac:dyDescent="0.3">
      <c r="A35" s="1">
        <v>140.30000000000001</v>
      </c>
      <c r="B35" s="1">
        <v>250.3</v>
      </c>
      <c r="C35" s="1">
        <v>53.62</v>
      </c>
      <c r="L35" s="1">
        <f t="shared" si="0"/>
        <v>2170.0074981305534</v>
      </c>
      <c r="M35">
        <f t="shared" si="1"/>
        <v>35117090.000000007</v>
      </c>
      <c r="N35">
        <f t="shared" si="3"/>
        <v>7.5455185206365831</v>
      </c>
      <c r="O35">
        <f t="shared" si="2"/>
        <v>560.52736715940875</v>
      </c>
      <c r="V35" s="3"/>
      <c r="X35" s="3"/>
    </row>
    <row r="36" spans="1:24" x14ac:dyDescent="0.3">
      <c r="A36" s="1">
        <v>150.6</v>
      </c>
      <c r="B36" s="1">
        <v>260</v>
      </c>
      <c r="C36" s="1">
        <v>60.12</v>
      </c>
      <c r="L36" s="1">
        <f t="shared" si="0"/>
        <v>2249.3668076661966</v>
      </c>
      <c r="M36">
        <f t="shared" si="1"/>
        <v>39156000</v>
      </c>
      <c r="N36">
        <f t="shared" si="3"/>
        <v>7.5927983198354996</v>
      </c>
      <c r="O36">
        <f t="shared" si="2"/>
        <v>579.23076923076917</v>
      </c>
      <c r="V36" s="3"/>
      <c r="X36" s="3"/>
    </row>
    <row r="37" spans="1:24" x14ac:dyDescent="0.3">
      <c r="A37" s="1">
        <v>161.19999999999999</v>
      </c>
      <c r="B37" s="1">
        <v>269.2</v>
      </c>
      <c r="C37" s="1">
        <v>67.260000000000005</v>
      </c>
      <c r="L37" s="1">
        <f t="shared" si="0"/>
        <v>2332.4477796977594</v>
      </c>
      <c r="M37">
        <f t="shared" si="1"/>
        <v>43395039.999999993</v>
      </c>
      <c r="N37">
        <f t="shared" si="3"/>
        <v>7.6374400930210111</v>
      </c>
      <c r="O37">
        <f t="shared" si="2"/>
        <v>598.81129271916791</v>
      </c>
      <c r="V37" s="3"/>
      <c r="X37" s="3"/>
    </row>
    <row r="38" spans="1:24" x14ac:dyDescent="0.3">
      <c r="A38" s="1">
        <v>169.9</v>
      </c>
      <c r="B38" s="1">
        <v>276.8</v>
      </c>
      <c r="C38" s="1">
        <v>72.94</v>
      </c>
      <c r="L38" s="1">
        <f t="shared" si="0"/>
        <v>2396.0479380290312</v>
      </c>
      <c r="M38">
        <f t="shared" si="1"/>
        <v>47028320.000000007</v>
      </c>
      <c r="N38">
        <f t="shared" si="3"/>
        <v>7.6723594646537663</v>
      </c>
      <c r="O38">
        <f t="shared" si="2"/>
        <v>613.80057803468208</v>
      </c>
      <c r="V38" s="3"/>
      <c r="X38" s="3"/>
    </row>
    <row r="39" spans="1:24" x14ac:dyDescent="0.3">
      <c r="A39" s="1">
        <v>180</v>
      </c>
      <c r="B39" s="1">
        <v>285.3</v>
      </c>
      <c r="C39" s="1">
        <v>79.92</v>
      </c>
      <c r="L39" s="1">
        <f t="shared" si="0"/>
        <v>2468.6644029973809</v>
      </c>
      <c r="M39">
        <f t="shared" si="1"/>
        <v>51354000</v>
      </c>
      <c r="N39">
        <f t="shared" si="3"/>
        <v>7.7105742767603829</v>
      </c>
      <c r="O39">
        <f t="shared" si="2"/>
        <v>630.91482649842271</v>
      </c>
      <c r="V39" s="3"/>
      <c r="X39" s="3"/>
    </row>
    <row r="40" spans="1:24" x14ac:dyDescent="0.3">
      <c r="A40" s="1">
        <v>190.4</v>
      </c>
      <c r="B40" s="1">
        <v>294</v>
      </c>
      <c r="C40" s="1">
        <v>87.23</v>
      </c>
      <c r="L40" s="1">
        <f t="shared" si="0"/>
        <v>2539.5411049688041</v>
      </c>
      <c r="M40">
        <f t="shared" si="1"/>
        <v>55977600</v>
      </c>
      <c r="N40">
        <f t="shared" si="3"/>
        <v>7.7480142744606129</v>
      </c>
      <c r="O40">
        <f t="shared" si="2"/>
        <v>647.61904761904771</v>
      </c>
      <c r="V40" s="3"/>
      <c r="X40" s="3"/>
    </row>
    <row r="41" spans="1:24" x14ac:dyDescent="0.3">
      <c r="A41" s="1">
        <v>200.7</v>
      </c>
      <c r="B41" s="1">
        <v>302.39999999999998</v>
      </c>
      <c r="C41" s="1">
        <v>94.06</v>
      </c>
      <c r="L41" s="1">
        <f t="shared" si="0"/>
        <v>2607.732841948728</v>
      </c>
      <c r="M41">
        <f t="shared" si="1"/>
        <v>60691679.999999993</v>
      </c>
      <c r="N41">
        <f t="shared" si="3"/>
        <v>7.7831291593166547</v>
      </c>
      <c r="O41">
        <f t="shared" si="2"/>
        <v>663.69047619047615</v>
      </c>
      <c r="V41" s="3"/>
      <c r="X41" s="3"/>
    </row>
    <row r="42" spans="1:24" x14ac:dyDescent="0.3">
      <c r="A42" s="1">
        <v>210.7</v>
      </c>
      <c r="B42" s="1">
        <v>310</v>
      </c>
      <c r="C42" s="1">
        <v>101.77</v>
      </c>
      <c r="L42" s="1">
        <f t="shared" si="0"/>
        <v>2675.5661038477542</v>
      </c>
      <c r="M42">
        <f t="shared" si="1"/>
        <v>65317000</v>
      </c>
      <c r="N42">
        <f t="shared" si="3"/>
        <v>7.8150262294423731</v>
      </c>
      <c r="O42">
        <f t="shared" si="2"/>
        <v>679.67741935483866</v>
      </c>
      <c r="V42" s="3"/>
      <c r="X42" s="3"/>
    </row>
    <row r="43" spans="1:24" x14ac:dyDescent="0.3">
      <c r="A43" s="1">
        <v>219.7</v>
      </c>
      <c r="B43" s="1">
        <v>317</v>
      </c>
      <c r="C43" s="1">
        <v>108</v>
      </c>
      <c r="L43" s="1">
        <f t="shared" si="0"/>
        <v>2732.3486800259561</v>
      </c>
      <c r="M43">
        <f t="shared" si="1"/>
        <v>69644900</v>
      </c>
      <c r="N43">
        <f t="shared" si="3"/>
        <v>7.842889319138262</v>
      </c>
      <c r="O43">
        <f t="shared" si="2"/>
        <v>693.05993690851733</v>
      </c>
      <c r="V43" s="3"/>
      <c r="X43" s="3"/>
    </row>
    <row r="44" spans="1:24" x14ac:dyDescent="0.3">
      <c r="V44" s="3"/>
      <c r="X44" s="3"/>
    </row>
    <row r="45" spans="1:24" x14ac:dyDescent="0.3">
      <c r="V45" s="3"/>
      <c r="X45" s="3"/>
    </row>
    <row r="46" spans="1:24" x14ac:dyDescent="0.3">
      <c r="V46" s="3"/>
      <c r="X46" s="3"/>
    </row>
    <row r="47" spans="1:24" x14ac:dyDescent="0.3">
      <c r="V47" s="3"/>
      <c r="X47" s="3"/>
    </row>
    <row r="48" spans="1:24" x14ac:dyDescent="0.3">
      <c r="V48" s="3"/>
      <c r="X48" s="3"/>
    </row>
    <row r="49" spans="22:24" x14ac:dyDescent="0.3">
      <c r="V49" s="3"/>
      <c r="X49" s="3"/>
    </row>
    <row r="50" spans="22:24" x14ac:dyDescent="0.3">
      <c r="V50" s="3"/>
      <c r="X50" s="3"/>
    </row>
    <row r="51" spans="22:24" x14ac:dyDescent="0.3">
      <c r="V51" s="3"/>
      <c r="X51" s="3"/>
    </row>
    <row r="52" spans="22:24" x14ac:dyDescent="0.3">
      <c r="V52" s="3"/>
      <c r="X52" s="3"/>
    </row>
    <row r="53" spans="22:24" x14ac:dyDescent="0.3">
      <c r="V53" s="3"/>
      <c r="X53" s="3"/>
    </row>
    <row r="54" spans="22:24" x14ac:dyDescent="0.3">
      <c r="V54" s="3"/>
      <c r="X54" s="3"/>
    </row>
    <row r="55" spans="22:24" x14ac:dyDescent="0.3">
      <c r="V55" s="3"/>
      <c r="X55" s="3"/>
    </row>
    <row r="56" spans="22:24" x14ac:dyDescent="0.3">
      <c r="V56" s="3"/>
      <c r="X56" s="3"/>
    </row>
    <row r="57" spans="22:24" x14ac:dyDescent="0.3">
      <c r="V57" s="3"/>
      <c r="X57" s="3"/>
    </row>
    <row r="58" spans="22:24" x14ac:dyDescent="0.3">
      <c r="V58" s="3"/>
      <c r="X58" s="3"/>
    </row>
    <row r="59" spans="22:24" x14ac:dyDescent="0.3">
      <c r="V59" s="3"/>
      <c r="X59" s="3"/>
    </row>
    <row r="60" spans="22:24" x14ac:dyDescent="0.3">
      <c r="V60" s="3"/>
      <c r="X60" s="3"/>
    </row>
    <row r="61" spans="22:24" x14ac:dyDescent="0.3">
      <c r="V61" s="3"/>
      <c r="X61" s="3"/>
    </row>
    <row r="62" spans="22:24" x14ac:dyDescent="0.3">
      <c r="V62" s="3"/>
      <c r="X62" s="3"/>
    </row>
    <row r="63" spans="22:24" x14ac:dyDescent="0.3">
      <c r="V63" s="3"/>
      <c r="X63" s="3"/>
    </row>
    <row r="64" spans="22:24" x14ac:dyDescent="0.3">
      <c r="V64" s="3"/>
      <c r="X64" s="3"/>
    </row>
    <row r="65" spans="22:24" x14ac:dyDescent="0.3">
      <c r="V65" s="3"/>
      <c r="X65" s="3"/>
    </row>
    <row r="66" spans="22:24" x14ac:dyDescent="0.3">
      <c r="V66" s="3"/>
      <c r="X66" s="3"/>
    </row>
    <row r="67" spans="22:24" x14ac:dyDescent="0.3">
      <c r="V67" s="3"/>
      <c r="X67" s="3"/>
    </row>
    <row r="68" spans="22:24" x14ac:dyDescent="0.3">
      <c r="V68" s="3"/>
      <c r="X68" s="3"/>
    </row>
    <row r="69" spans="22:24" x14ac:dyDescent="0.3">
      <c r="V69" s="3"/>
      <c r="X69" s="3"/>
    </row>
    <row r="70" spans="22:24" x14ac:dyDescent="0.3">
      <c r="V70" s="3"/>
      <c r="X70" s="3"/>
    </row>
    <row r="71" spans="22:24" x14ac:dyDescent="0.3">
      <c r="V71" s="3"/>
      <c r="X71" s="3"/>
    </row>
    <row r="72" spans="22:24" x14ac:dyDescent="0.3">
      <c r="V72" s="3"/>
      <c r="X72" s="3"/>
    </row>
    <row r="73" spans="22:24" x14ac:dyDescent="0.3">
      <c r="V73" s="3"/>
      <c r="X73" s="3"/>
    </row>
    <row r="74" spans="22:24" x14ac:dyDescent="0.3">
      <c r="V74" s="3"/>
      <c r="X74" s="3"/>
    </row>
    <row r="75" spans="22:24" x14ac:dyDescent="0.3">
      <c r="V75" s="3"/>
      <c r="X75" s="3"/>
    </row>
    <row r="76" spans="22:24" x14ac:dyDescent="0.3">
      <c r="V76" s="3"/>
      <c r="X76" s="3"/>
    </row>
    <row r="77" spans="22:24" x14ac:dyDescent="0.3">
      <c r="V77" s="3"/>
      <c r="X77" s="3"/>
    </row>
    <row r="78" spans="22:24" x14ac:dyDescent="0.3">
      <c r="V78" s="3"/>
      <c r="X78" s="3"/>
    </row>
    <row r="79" spans="22:24" x14ac:dyDescent="0.3">
      <c r="V79" s="3"/>
      <c r="X79" s="3"/>
    </row>
    <row r="80" spans="22:24" x14ac:dyDescent="0.3">
      <c r="V80" s="3"/>
      <c r="X80" s="3"/>
    </row>
    <row r="81" spans="22:24" x14ac:dyDescent="0.3">
      <c r="V81" s="3"/>
      <c r="X81" s="3"/>
    </row>
    <row r="82" spans="22:24" x14ac:dyDescent="0.3">
      <c r="V82" s="3"/>
      <c r="X82" s="3"/>
    </row>
    <row r="83" spans="22:24" x14ac:dyDescent="0.3">
      <c r="V83" s="3"/>
      <c r="X83" s="3"/>
    </row>
    <row r="84" spans="22:24" x14ac:dyDescent="0.3">
      <c r="V84" s="3"/>
      <c r="X84" s="3"/>
    </row>
    <row r="85" spans="22:24" x14ac:dyDescent="0.3">
      <c r="V85" s="3"/>
      <c r="X85" s="3"/>
    </row>
    <row r="86" spans="22:24" x14ac:dyDescent="0.3">
      <c r="V86" s="3"/>
      <c r="X86" s="3"/>
    </row>
    <row r="87" spans="22:24" x14ac:dyDescent="0.3">
      <c r="V87" s="3"/>
      <c r="X87" s="3"/>
    </row>
    <row r="88" spans="22:24" x14ac:dyDescent="0.3">
      <c r="V88" s="3"/>
      <c r="X88" s="3"/>
    </row>
    <row r="89" spans="22:24" x14ac:dyDescent="0.3">
      <c r="V89" s="3"/>
      <c r="X89" s="3"/>
    </row>
    <row r="90" spans="22:24" x14ac:dyDescent="0.3">
      <c r="V90" s="3"/>
      <c r="X90" s="3"/>
    </row>
    <row r="91" spans="22:24" x14ac:dyDescent="0.3">
      <c r="V91" s="3"/>
      <c r="X91" s="3"/>
    </row>
    <row r="92" spans="22:24" x14ac:dyDescent="0.3">
      <c r="V92" s="3"/>
      <c r="X92" s="3"/>
    </row>
    <row r="93" spans="22:24" x14ac:dyDescent="0.3">
      <c r="V93" s="3"/>
      <c r="X93" s="3"/>
    </row>
    <row r="94" spans="22:24" x14ac:dyDescent="0.3">
      <c r="V94" s="3"/>
      <c r="X94" s="3"/>
    </row>
    <row r="95" spans="22:24" x14ac:dyDescent="0.3">
      <c r="V95" s="3"/>
      <c r="X95" s="3"/>
    </row>
    <row r="96" spans="22:24" x14ac:dyDescent="0.3">
      <c r="V96" s="3"/>
      <c r="X96" s="3"/>
    </row>
    <row r="97" spans="22:24" x14ac:dyDescent="0.3">
      <c r="V97" s="3"/>
      <c r="X97" s="3"/>
    </row>
    <row r="98" spans="22:24" x14ac:dyDescent="0.3">
      <c r="V98" s="3"/>
      <c r="X98" s="3"/>
    </row>
    <row r="99" spans="22:24" x14ac:dyDescent="0.3">
      <c r="V99" s="3"/>
      <c r="X99" s="3"/>
    </row>
    <row r="100" spans="22:24" x14ac:dyDescent="0.3">
      <c r="V100" s="3"/>
      <c r="X100" s="3"/>
    </row>
    <row r="101" spans="22:24" x14ac:dyDescent="0.3">
      <c r="V101" s="3"/>
      <c r="X101" s="3"/>
    </row>
    <row r="102" spans="22:24" x14ac:dyDescent="0.3">
      <c r="V102" s="3"/>
      <c r="X102" s="3"/>
    </row>
    <row r="103" spans="22:24" x14ac:dyDescent="0.3">
      <c r="V103" s="3"/>
      <c r="X103" s="3"/>
    </row>
    <row r="104" spans="22:24" x14ac:dyDescent="0.3">
      <c r="V104" s="3"/>
      <c r="X104" s="3"/>
    </row>
    <row r="105" spans="22:24" x14ac:dyDescent="0.3">
      <c r="V105" s="3"/>
      <c r="X105" s="3"/>
    </row>
    <row r="106" spans="22:24" x14ac:dyDescent="0.3">
      <c r="V106" s="3"/>
      <c r="X106" s="3"/>
    </row>
    <row r="107" spans="22:24" x14ac:dyDescent="0.3">
      <c r="V107" s="3"/>
      <c r="X107" s="3"/>
    </row>
    <row r="108" spans="22:24" x14ac:dyDescent="0.3">
      <c r="V108" s="3"/>
      <c r="X108" s="3"/>
    </row>
    <row r="109" spans="22:24" x14ac:dyDescent="0.3">
      <c r="V109" s="3"/>
      <c r="X109" s="3"/>
    </row>
    <row r="110" spans="22:24" x14ac:dyDescent="0.3">
      <c r="V110" s="3"/>
      <c r="X110" s="3"/>
    </row>
    <row r="111" spans="22:24" x14ac:dyDescent="0.3">
      <c r="V111" s="3"/>
      <c r="X111" s="3"/>
    </row>
    <row r="112" spans="22:24" x14ac:dyDescent="0.3">
      <c r="V112" s="3"/>
      <c r="X112" s="3"/>
    </row>
    <row r="113" spans="22:24" x14ac:dyDescent="0.3">
      <c r="V113" s="3"/>
      <c r="X113" s="3"/>
    </row>
    <row r="114" spans="22:24" x14ac:dyDescent="0.3">
      <c r="V114" s="3"/>
      <c r="X114" s="3"/>
    </row>
    <row r="115" spans="22:24" x14ac:dyDescent="0.3">
      <c r="V115" s="3"/>
      <c r="X115" s="3"/>
    </row>
    <row r="116" spans="22:24" x14ac:dyDescent="0.3">
      <c r="V116" s="3"/>
      <c r="X116" s="3"/>
    </row>
    <row r="117" spans="22:24" x14ac:dyDescent="0.3">
      <c r="V117" s="3"/>
      <c r="X117" s="3"/>
    </row>
    <row r="118" spans="22:24" x14ac:dyDescent="0.3">
      <c r="V118" s="3"/>
      <c r="X118" s="3"/>
    </row>
    <row r="119" spans="22:24" x14ac:dyDescent="0.3">
      <c r="V119" s="3"/>
      <c r="X119" s="3"/>
    </row>
    <row r="120" spans="22:24" x14ac:dyDescent="0.3">
      <c r="V120" s="3"/>
      <c r="X120" s="3"/>
    </row>
    <row r="121" spans="22:24" x14ac:dyDescent="0.3">
      <c r="V121" s="3"/>
      <c r="X121" s="3"/>
    </row>
    <row r="122" spans="22:24" x14ac:dyDescent="0.3">
      <c r="V122" s="3"/>
      <c r="X122" s="3"/>
    </row>
    <row r="123" spans="22:24" x14ac:dyDescent="0.3">
      <c r="V123" s="3"/>
      <c r="X123" s="3"/>
    </row>
    <row r="124" spans="22:24" x14ac:dyDescent="0.3">
      <c r="V124" s="3"/>
      <c r="X124" s="3"/>
    </row>
    <row r="125" spans="22:24" x14ac:dyDescent="0.3">
      <c r="V125" s="3"/>
      <c r="X12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746561-07B4-4273-B433-55D2E48A9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Apestegui De La Rosa</dc:creator>
  <cp:lastModifiedBy>Miguel Alejandro Apestegui De la Rosa</cp:lastModifiedBy>
  <dcterms:created xsi:type="dcterms:W3CDTF">2015-06-05T18:19:34Z</dcterms:created>
  <dcterms:modified xsi:type="dcterms:W3CDTF">2024-12-12T00:47:05Z</dcterms:modified>
</cp:coreProperties>
</file>